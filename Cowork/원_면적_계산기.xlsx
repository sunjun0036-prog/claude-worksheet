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laude Worksheet\Cowork\"/>
    </mc:Choice>
  </mc:AlternateContent>
  <xr:revisionPtr revIDLastSave="0" documentId="13_ncr:1_{3E0E9FF9-0BBF-4229-B3DC-0620D2ACFF04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원 면적 계산기" sheetId="1" r:id="rId1"/>
    <sheet name="_units" sheetId="2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1" l="1"/>
  <c r="D14" i="1"/>
  <c r="D13" i="1"/>
  <c r="D12" i="1"/>
  <c r="D11" i="1"/>
  <c r="C14" i="1"/>
  <c r="C13" i="1"/>
  <c r="C12" i="1"/>
  <c r="C11" i="1"/>
  <c r="H10" i="1"/>
  <c r="G10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<sst xmlns="http://schemas.openxmlformats.org/spreadsheetml/2006/main" count="29" uniqueCount="20">
  <si>
    <t>원 면적 계산기</t>
  </si>
  <si>
    <t>단위 변환 결과</t>
  </si>
  <si>
    <t>입력</t>
  </si>
  <si>
    <t>단위</t>
  </si>
  <si>
    <t>반지름</t>
  </si>
  <si>
    <t>면적</t>
  </si>
  <si>
    <r>
      <rPr>
        <sz val="11"/>
        <rFont val="Noto Sans CJK SC"/>
        <family val="2"/>
      </rPr>
      <t xml:space="preserve">반지름 </t>
    </r>
    <r>
      <rPr>
        <sz val="11"/>
        <rFont val="Arial"/>
        <family val="2"/>
      </rPr>
      <t>(r)</t>
    </r>
  </si>
  <si>
    <t>mm</t>
  </si>
  <si>
    <t>입력 단위</t>
  </si>
  <si>
    <t>m</t>
  </si>
  <si>
    <t>cm</t>
  </si>
  <si>
    <t>출력 단위</t>
  </si>
  <si>
    <t>km</t>
  </si>
  <si>
    <t>inch</t>
  </si>
  <si>
    <t>계산 결과</t>
  </si>
  <si>
    <t>ft</t>
  </si>
  <si>
    <r>
      <rPr>
        <sz val="11"/>
        <rFont val="Noto Sans CJK SC"/>
        <family val="2"/>
      </rPr>
      <t xml:space="preserve">면적 </t>
    </r>
    <r>
      <rPr>
        <sz val="11"/>
        <rFont val="Arial"/>
        <family val="2"/>
      </rPr>
      <t>(πr²)</t>
    </r>
  </si>
  <si>
    <t>※ 왼쪽 입력값과 입력 단위를 기준으로 자동 변환</t>
  </si>
  <si>
    <r>
      <rPr>
        <sz val="11"/>
        <rFont val="Noto Sans CJK SC"/>
        <family val="2"/>
      </rPr>
      <t xml:space="preserve">둘레 </t>
    </r>
    <r>
      <rPr>
        <sz val="11"/>
        <rFont val="Arial"/>
        <family val="2"/>
      </rPr>
      <t>(2πr)</t>
    </r>
  </si>
  <si>
    <r>
      <rPr>
        <sz val="11"/>
        <rFont val="Noto Sans CJK SC"/>
        <family val="2"/>
      </rPr>
      <t xml:space="preserve">지름 </t>
    </r>
    <r>
      <rPr>
        <sz val="11"/>
        <rFont val="Arial"/>
        <family val="2"/>
      </rPr>
      <t>(2r)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</si>
</sst>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color rgb="FFFFFFFF"/>
      <name val="Noto Sans CJK SC"/>
      <family val="2"/>
    </font>
    <font>
      <sz val="11"/>
      <name val="Noto Sans CJK SC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9"/>
      <color rgb="FF808080"/>
      <name val="Noto Sans CJK SC"/>
      <family val="2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375623"/>
        <bgColor rgb="FF333300"/>
      </patternFill>
    </fill>
    <fill>
      <patternFill patternType="solid">
        <fgColor rgb="FFEBF3FB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4" fontId="5" fillId="5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176" fontId="7" fillId="7" borderId="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1:N15"/>
  <sheetViews>
    <sheetView tabSelected="1" zoomScaleNormal="100" workbookViewId="0">
      <selection activeCell="C12" sqref="C12"/>
    </sheetView>
  </sheetViews>
  <sheetFormatPr defaultColWidth="8.6640625" defaultRowHeight="14.4"/>
  <cols>
    <col min="1" max="1" width="2" customWidth="1"/>
    <col min="2" max="2" width="22" customWidth="1"/>
    <col min="3" max="4" width="16" customWidth="1"/>
    <col min="5" max="5" width="3" customWidth="1"/>
    <col min="6" max="6" width="10" customWidth="1"/>
    <col min="7" max="8" width="18" customWidth="1"/>
    <col min="9" max="9" width="2" customWidth="1"/>
  </cols>
  <sheetData>
    <row r="1" spans="2:14" ht="7.5" customHeight="1"/>
    <row r="2" spans="2:14" ht="36" customHeight="1">
      <c r="B2" s="4" t="s">
        <v>0</v>
      </c>
      <c r="C2" s="4"/>
      <c r="D2" s="5"/>
      <c r="F2" s="3" t="s">
        <v>1</v>
      </c>
      <c r="G2" s="3"/>
      <c r="H2" s="3"/>
    </row>
    <row r="3" spans="2:14" ht="7.5" customHeight="1"/>
    <row r="4" spans="2:14" ht="27.75" customHeight="1">
      <c r="B4" s="2" t="s">
        <v>2</v>
      </c>
      <c r="C4" s="2"/>
      <c r="D4" s="13"/>
      <c r="F4" s="6" t="s">
        <v>3</v>
      </c>
      <c r="G4" s="6" t="s">
        <v>4</v>
      </c>
      <c r="H4" s="6" t="s">
        <v>5</v>
      </c>
    </row>
    <row r="5" spans="2:14" ht="25.5" customHeight="1">
      <c r="B5" s="7" t="s">
        <v>6</v>
      </c>
      <c r="C5" s="8">
        <v>1440</v>
      </c>
      <c r="D5" s="11" t="s">
        <v>7</v>
      </c>
      <c r="F5" s="9" t="s">
        <v>7</v>
      </c>
      <c r="G5" s="10">
        <f>(C5*VLOOKUP(D5,_units!$A$1:$B$6,2,0))/VLOOKUP("mm",_units!$A$1:$B$6,2,0)</f>
        <v>1440</v>
      </c>
      <c r="H5" s="10">
        <f>PI()*(C5*VLOOKUP(D5,_units!$A$1:$B$6,2,0))^2/VLOOKUP("mm",_units!$A$1:$B$6,2,0)^2</f>
        <v>6514406.5264837947</v>
      </c>
      <c r="M5">
        <f>C5/25.4</f>
        <v>56.692913385826778</v>
      </c>
    </row>
    <row r="6" spans="2:14" ht="25.5" customHeight="1">
      <c r="B6" s="7" t="s">
        <v>8</v>
      </c>
      <c r="D6" s="14"/>
      <c r="F6" s="9" t="s">
        <v>10</v>
      </c>
      <c r="G6" s="10">
        <f>(C5*VLOOKUP(D5,_units!$A$1:$B$6,2,0))/VLOOKUP("cm",_units!$A$1:$B$6,2,0)</f>
        <v>144</v>
      </c>
      <c r="H6" s="10">
        <f>PI()*(C5*VLOOKUP(D5,_units!$A$1:$B$6,2,0))^2/VLOOKUP("cm",_units!$A$1:$B$6,2,0)^2</f>
        <v>65144.06526483794</v>
      </c>
    </row>
    <row r="7" spans="2:14" ht="25.5" customHeight="1">
      <c r="F7" s="9" t="s">
        <v>9</v>
      </c>
      <c r="G7" s="10">
        <f>(C5*VLOOKUP(D5,_units!$A$1:$B$6,2,0))/VLOOKUP("m",_units!$A$1:$B$6,2,0)</f>
        <v>1.44</v>
      </c>
      <c r="H7" s="10">
        <f>PI()*(C5*VLOOKUP(D5,_units!$A$1:$B$6,2,0))^2/VLOOKUP("m",_units!$A$1:$B$6,2,0)^2</f>
        <v>6.5144065264837945</v>
      </c>
    </row>
    <row r="8" spans="2:14" ht="25.5" customHeight="1">
      <c r="B8" s="7" t="s">
        <v>11</v>
      </c>
      <c r="C8" s="11" t="s">
        <v>9</v>
      </c>
      <c r="D8" s="14"/>
      <c r="F8" s="9" t="s">
        <v>12</v>
      </c>
      <c r="G8" s="10">
        <f>(C5*VLOOKUP(D5,_units!$A$1:$B$6,2,0))/VLOOKUP("km",_units!$A$1:$B$6,2,0)</f>
        <v>1.4399999999999999E-3</v>
      </c>
      <c r="H8" s="10">
        <f>PI()*(C5*VLOOKUP(D5,_units!$A$1:$B$6,2,0))^2/VLOOKUP("km",_units!$A$1:$B$6,2,0)^2</f>
        <v>6.5144065264837947E-6</v>
      </c>
    </row>
    <row r="9" spans="2:14" ht="25.5" customHeight="1">
      <c r="F9" s="9" t="s">
        <v>13</v>
      </c>
      <c r="G9" s="10">
        <f>(C5*VLOOKUP(D5,_units!$A$1:$B$6,2,0))/VLOOKUP("inch",_units!$A$1:$B$6,2,0)</f>
        <v>56.69291338582677</v>
      </c>
      <c r="H9" s="10">
        <f>PI()*(C5*VLOOKUP(D5,_units!$A$1:$B$6,2,0))^2/VLOOKUP("inch",_units!$A$1:$B$6,2,0)^2</f>
        <v>10097.350310750504</v>
      </c>
    </row>
    <row r="10" spans="2:14" ht="25.5" customHeight="1">
      <c r="B10" s="2" t="s">
        <v>14</v>
      </c>
      <c r="C10" s="2"/>
      <c r="D10" s="13"/>
      <c r="F10" s="9" t="s">
        <v>15</v>
      </c>
      <c r="G10" s="10">
        <f>(C5*VLOOKUP(D5,_units!$A$1:$B$6,2,0))/VLOOKUP("ft",_units!$A$1:$B$6,2,0)</f>
        <v>4.7244094488188972</v>
      </c>
      <c r="H10" s="10">
        <f>PI()*(C5*VLOOKUP(D5,_units!$A$1:$B$6,2,0))^2/VLOOKUP("ft",_units!$A$1:$B$6,2,0)^2</f>
        <v>70.120488269100704</v>
      </c>
    </row>
    <row r="11" spans="2:14" ht="25.5" customHeight="1">
      <c r="B11" s="7" t="s">
        <v>4</v>
      </c>
      <c r="C11" s="12">
        <f>(C5*VLOOKUP(D5,_units!$A$1:$B$6,2,0))/VLOOKUP(C8,_units!$A$1:$B$6,2,0)</f>
        <v>1.44</v>
      </c>
      <c r="D11" s="15" t="str">
        <f>C8</f>
        <v>m</v>
      </c>
      <c r="N11">
        <v>0.21237166338267005</v>
      </c>
    </row>
    <row r="12" spans="2:14" ht="18" customHeight="1">
      <c r="B12" s="7" t="s">
        <v>16</v>
      </c>
      <c r="C12" s="12">
        <f>PI()*(C5*VLOOKUP(D5,_units!$A$1:$B$6,2,0))^2/VLOOKUP(C8,_units!$A$1:$B$6,2,0)^2</f>
        <v>6.5144065264837945</v>
      </c>
      <c r="D12" s="15" t="str">
        <f>C8&amp;2</f>
        <v>m2</v>
      </c>
      <c r="F12" s="1" t="s">
        <v>17</v>
      </c>
      <c r="G12" s="1"/>
      <c r="H12" s="1"/>
    </row>
    <row r="13" spans="2:14" ht="25.5" customHeight="1">
      <c r="B13" s="7" t="s">
        <v>18</v>
      </c>
      <c r="C13" s="12">
        <f>2*PI()*(C5*VLOOKUP(D5,_units!$A$1:$B$6,2,0))/VLOOKUP(C8,_units!$A$1:$B$6,2,0)</f>
        <v>9.0477868423386045</v>
      </c>
      <c r="D13" s="15" t="str">
        <f>C8</f>
        <v>m</v>
      </c>
    </row>
    <row r="14" spans="2:14" ht="25.5" customHeight="1">
      <c r="B14" s="7" t="s">
        <v>19</v>
      </c>
      <c r="C14" s="12">
        <f>2*(C5*VLOOKUP(D5,_units!$A$1:$B$6,2,0))/VLOOKUP(C8,_units!$A$1:$B$6,2,0)</f>
        <v>2.88</v>
      </c>
      <c r="D14" s="15" t="str">
        <f>C8</f>
        <v>m</v>
      </c>
    </row>
    <row r="15" spans="2:14" ht="9.75" customHeight="1"/>
  </sheetData>
  <mergeCells count="5">
    <mergeCell ref="B2:C2"/>
    <mergeCell ref="F2:H2"/>
    <mergeCell ref="B4:C4"/>
    <mergeCell ref="B10:C10"/>
    <mergeCell ref="F12:H12"/>
  </mergeCells>
  <phoneticPr fontId="9" type="noConversion"/>
  <dataValidations count="1">
    <dataValidation type="list" sqref="C8:D8 D5:D6" xr:uid="{00000000-0002-0000-0000-000000000000}">
      <formula1>"mm,cm,m,km,inch,ft"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/>
  </sheetViews>
  <sheetFormatPr defaultColWidth="8.6640625" defaultRowHeight="14.4"/>
  <sheetData>
    <row r="1" spans="1:2">
      <c r="A1" t="s">
        <v>7</v>
      </c>
      <c r="B1">
        <v>1E-3</v>
      </c>
    </row>
    <row r="2" spans="1:2">
      <c r="A2" t="s">
        <v>10</v>
      </c>
      <c r="B2">
        <v>0.01</v>
      </c>
    </row>
    <row r="3" spans="1:2">
      <c r="A3" t="s">
        <v>9</v>
      </c>
      <c r="B3">
        <v>1</v>
      </c>
    </row>
    <row r="4" spans="1:2">
      <c r="A4" t="s">
        <v>12</v>
      </c>
      <c r="B4">
        <v>1000</v>
      </c>
    </row>
    <row r="5" spans="1:2">
      <c r="A5" t="s">
        <v>13</v>
      </c>
      <c r="B5">
        <v>2.5399999999999999E-2</v>
      </c>
    </row>
    <row r="6" spans="1:2">
      <c r="A6" t="s">
        <v>15</v>
      </c>
      <c r="B6">
        <v>0.30480000000000002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 면적 계산기</vt:lpstr>
      <vt:lpstr>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이선준</cp:lastModifiedBy>
  <cp:revision>0</cp:revision>
  <dcterms:created xsi:type="dcterms:W3CDTF">2026-06-23T01:15:59Z</dcterms:created>
  <dcterms:modified xsi:type="dcterms:W3CDTF">2026-06-23T04:41:55Z</dcterms:modified>
  <dc:language>en-US</dc:language>
</cp:coreProperties>
</file>