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원 면적 계산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<sst xmlns="http://schemas.openxmlformats.org/spreadsheetml/2006/main" count="19" uniqueCount="19">
  <si>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원 면적 계산기</t>
  </si>
  <si>
    <t xml:space="preserve">단위 변환기</t>
  </si>
  <si>
    <t xml:space="preserve">입력</t>
  </si>
  <si>
    <t xml:space="preserve">단위</t>
  </si>
  <si>
    <t xml:space="preserve">반지름</t>
  </si>
  <si>
    <t xml:space="preserve">면적</t>
  </si>
  <si>
    <r>
      <rPr>
        <sz val="11"/>
        <rFont val="Noto Sans CJK SC"/>
        <family val="2"/>
      </rPr>
      <t xml:space="preserve">반지름 </t>
    </r>
    <r>
      <rPr>
        <sz val="11"/>
        <rFont val="Arial"/>
        <family val="0"/>
        <charset val="1"/>
      </rPr>
      <t xml:space="preserve">(r)</t>
    </r>
  </si>
  <si>
    <t xml:space="preserve">mm</t>
  </si>
  <si>
    <t xml:space="preserve">cm</t>
  </si>
  <si>
    <t xml:space="preserve">계산 결과</t>
  </si>
  <si>
    <t xml:space="preserve">m</t>
  </si>
  <si>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(πr²)</t>
    </r>
  </si>
  <si>
    <t xml:space="preserve">km</t>
  </si>
  <si>
    <r>
      <rPr>
        <sz val="11"/>
        <rFont val="Noto Sans CJK SC"/>
        <family val="2"/>
      </rPr>
      <t xml:space="preserve">둘레 </t>
    </r>
    <r>
      <rPr>
        <sz val="11"/>
        <rFont val="Arial"/>
        <family val="0"/>
        <charset val="1"/>
      </rPr>
      <t xml:space="preserve">(2πr)</t>
    </r>
  </si>
  <si>
    <t xml:space="preserve">inch</t>
  </si>
  <si>
    <r>
      <rPr>
        <sz val="11"/>
        <rFont val="Noto Sans CJK SC"/>
        <family val="2"/>
      </rPr>
      <t xml:space="preserve">지름 </t>
    </r>
    <r>
      <rPr>
        <sz val="11"/>
        <rFont val="Arial"/>
        <family val="0"/>
        <charset val="1"/>
      </rPr>
      <t xml:space="preserve">(2r)</t>
    </r>
  </si>
  <si>
    <t xml:space="preserve">ft</t>
  </si>
  <si>
    <r>
      <rPr>
        <sz val="11"/>
        <rFont val="Arial"/>
        <family val="0"/>
        <charset val="1"/>
      </rPr>
      <t xml:space="preserve">π (</t>
    </r>
    <r>
      <rPr>
        <sz val="11"/>
        <rFont val="Noto Sans CJK SC"/>
        <family val="2"/>
      </rPr>
      <t xml:space="preserve">원주율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</si>
  <si>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※ 반지름 입력값의 단위를 </t>
    </r>
    <r>
      <rPr>
        <i val="true"/>
        <sz val="9"/>
        <color rgb="FF808080"/>
        <rFont val="Arial"/>
        <family val="0"/>
        <charset val="1"/>
      </rPr>
      <t xml:space="preserve">cm</t>
    </r>
    <r>
      <rPr>
        <i val="true"/>
        <sz val="9"/>
        <color rgb="FF808080"/>
        <rFont val="Noto Sans CJK SC"/>
        <family val="2"/>
      </rPr>
      <t xml:space="preserve">로 간주하여 변환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</si>
</sst>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.0000"/>
    <numFmt numFmtId="167" formatCode="0.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375623"/>
        <bgColor rgb="FF333300"/>
      </patternFill>
    </fill>
    <fill>
      <patternFill patternType="solid">
        <fgColor rgb="FFEBF3FB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B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8" min="8" style="0" width="2"/>
  </cols>
  <sheetData>
    <row r="1" customFormat="false" ht="7.5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E2" s="2" t="s">
        <v>1</v>
      </c>
      <c r="F2" s="2"/>
      <c r="G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2</v>
      </c>
      <c r="C4" s="3"/>
      <c r="E4" s="4" t="s">
        <v>3</v>
      </c>
      <c r="F4" s="4" t="s">
        <v>4</v>
      </c>
      <c r="G4" s="4" t="s">
        <v>5</v>
      </c>
    </row>
    <row r="5" customFormat="false" ht="25.5" hidden="false" customHeight="true" outlineLevel="0" collapsed="false">
      <c r="B5" s="5" t="s">
        <v>6</v>
      </c>
      <c r="C5" s="6" t="n">
        <v>5</v>
      </c>
      <c r="E5" s="7" t="s">
        <v>7</v>
      </c>
      <c r="F5" s="8" t="n">
        <f aca="false">C5*10</f>
        <v>50</v>
      </c>
      <c r="G5" s="8" t="n">
        <f aca="false">PI()*(C5*10)^2</f>
        <v>7853.98163397448</v>
      </c>
    </row>
    <row r="6" customFormat="false" ht="25.5" hidden="false" customHeight="true" outlineLevel="0" collapsed="false">
      <c r="E6" s="7" t="s">
        <v>8</v>
      </c>
      <c r="F6" s="8" t="n">
        <f aca="false">C5</f>
        <v>5</v>
      </c>
      <c r="G6" s="8" t="n">
        <f aca="false">PI()*C5^2</f>
        <v>78.5398163397448</v>
      </c>
    </row>
    <row r="7" customFormat="false" ht="25.5" hidden="false" customHeight="true" outlineLevel="0" collapsed="false">
      <c r="B7" s="3" t="s">
        <v>9</v>
      </c>
      <c r="C7" s="3"/>
      <c r="E7" s="7" t="s">
        <v>10</v>
      </c>
      <c r="F7" s="8" t="n">
        <f aca="false">C5/100</f>
        <v>0.05</v>
      </c>
      <c r="G7" s="8" t="n">
        <f aca="false">PI()*(C5/100)^2</f>
        <v>0.00785398163397448</v>
      </c>
    </row>
    <row r="8" customFormat="false" ht="25.5" hidden="false" customHeight="true" outlineLevel="0" collapsed="false">
      <c r="B8" s="9" t="s">
        <v>11</v>
      </c>
      <c r="C8" s="8" t="n">
        <f aca="false">PI()*C5^2</f>
        <v>78.5398163397448</v>
      </c>
      <c r="E8" s="7" t="s">
        <v>12</v>
      </c>
      <c r="F8" s="8" t="n">
        <f aca="false">C5/100000</f>
        <v>5E-005</v>
      </c>
      <c r="G8" s="8" t="n">
        <f aca="false">PI()*(C5/100000)^2</f>
        <v>7.85398163397448E-009</v>
      </c>
    </row>
    <row r="9" customFormat="false" ht="25.5" hidden="false" customHeight="true" outlineLevel="0" collapsed="false">
      <c r="B9" s="9" t="s">
        <v>13</v>
      </c>
      <c r="C9" s="8" t="n">
        <f aca="false">2*PI()*C5</f>
        <v>31.4159265358979</v>
      </c>
      <c r="E9" s="7" t="s">
        <v>14</v>
      </c>
      <c r="F9" s="8" t="n">
        <f aca="false">C5/2.54</f>
        <v>1.96850393700787</v>
      </c>
      <c r="G9" s="8" t="n">
        <f aca="false">PI()*(C5/2.54)^2</f>
        <v>12.1736958800522</v>
      </c>
    </row>
    <row r="10" customFormat="false" ht="25.5" hidden="false" customHeight="true" outlineLevel="0" collapsed="false">
      <c r="B10" s="9" t="s">
        <v>15</v>
      </c>
      <c r="C10" s="10" t="n">
        <f aca="false">2*C5</f>
        <v>10</v>
      </c>
      <c r="E10" s="7" t="s">
        <v>16</v>
      </c>
      <c r="F10" s="8" t="n">
        <f aca="false">C5/30.48</f>
        <v>0.164041994750656</v>
      </c>
      <c r="G10" s="8" t="n">
        <f aca="false">PI()*(C5/30.48)^2</f>
        <v>0.0845395547225848</v>
      </c>
    </row>
    <row r="11" customFormat="false" ht="25.5" hidden="false" customHeight="true" outlineLevel="0" collapsed="false">
      <c r="B11" s="11" t="s">
        <v>17</v>
      </c>
      <c r="C11" s="12" t="n">
        <f aca="false">PI()</f>
        <v>3.14159265358979</v>
      </c>
    </row>
    <row r="12" customFormat="false" ht="18" hidden="false" customHeight="true" outlineLevel="0" collapsed="false">
      <c r="E12" s="13" t="s">
        <v>18</v>
      </c>
      <c r="F12" s="13"/>
      <c r="G12" s="13"/>
    </row>
  </sheetData>
  <mergeCells count="5">
    <mergeCell ref="B2:C2"/>
    <mergeCell ref="E2:G2"/>
    <mergeCell ref="B4:C4"/>
    <mergeCell ref="B7:C7"/>
    <mergeCell ref="E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2026-06-23T01:09:35Z</dcterms:created>
  <dc:creator>openpyxl</dc:creator>
  <dc:description/>
  <dc:language>en-US</dc:language>
  <cp:lastModifiedBy/>
  <dcterms:modified xsi:type="dcterms:W3CDTF">2026-06-23T01:09:35Z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